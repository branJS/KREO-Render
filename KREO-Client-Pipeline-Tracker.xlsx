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peline" sheetId="1" state="visible" r:id="rId3"/>
    <sheet name="Dashboard" sheetId="2" state="visible" r:id="rId4"/>
    <sheet name="How To U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<sst xmlns="http://schemas.openxmlformats.org/spreadsheetml/2006/main" count="252" uniqueCount="189">
  <si>
    <t xml:space="preserve">KREO STUDIO — Plymouth Client Pipeline</t>
  </si>
  <si>
    <t xml:space="preserve">30-Day Client Acquisition Tracker  ·  Plymouth, Devon  ·  design@kreostudio.co.uk</t>
  </si>
  <si>
    <t xml:space="preserve">Campaign Start: 19 Apr 2026</t>
  </si>
  <si>
    <t xml:space="preserve">#</t>
  </si>
  <si>
    <t xml:space="preserve">Business Name</t>
  </si>
  <si>
    <t xml:space="preserve">Sector</t>
  </si>
  <si>
    <t xml:space="preserve">Area / Street</t>
  </si>
  <si>
    <t xml:space="preserve">Contact Name</t>
  </si>
  <si>
    <t xml:space="preserve">Email</t>
  </si>
  <si>
    <t xml:space="preserve">Phone</t>
  </si>
  <si>
    <t xml:space="preserve">Branding Score
(1–5)</t>
  </si>
  <si>
    <t xml:space="preserve">Services Needed</t>
  </si>
  <si>
    <t xml:space="preserve">Outreach Method</t>
  </si>
  <si>
    <t xml:space="preserve">Outreach Date</t>
  </si>
  <si>
    <t xml:space="preserve">Status</t>
  </si>
  <si>
    <t xml:space="preserve">Follow-Up Date</t>
  </si>
  <si>
    <t xml:space="preserve">Quoted (£)</t>
  </si>
  <si>
    <t xml:space="preserve">Won (£)</t>
  </si>
  <si>
    <t xml:space="preserve">Priority</t>
  </si>
  <si>
    <t xml:space="preserve">Notes</t>
  </si>
  <si>
    <t xml:space="preserve">Next Action</t>
  </si>
  <si>
    <t xml:space="preserve">Barbershop on Union St</t>
  </si>
  <si>
    <t xml:space="preserve">Barber / Grooming</t>
  </si>
  <si>
    <t xml:space="preserve">Union Street</t>
  </si>
  <si>
    <t xml:space="preserve">Mike</t>
  </si>
  <si>
    <t xml:space="preserve">07xxx</t>
  </si>
  <si>
    <t xml:space="preserve">2 – Poor</t>
  </si>
  <si>
    <t xml:space="preserve">Logo, Social Media Pack</t>
  </si>
  <si>
    <t xml:space="preserve">Walk-In</t>
  </si>
  <si>
    <t xml:space="preserve">21/04/2026</t>
  </si>
  <si>
    <t xml:space="preserve">Not Contacted</t>
  </si>
  <si>
    <t xml:space="preserve">24/04/2026</t>
  </si>
  <si>
    <t xml:space="preserve">🔴 High</t>
  </si>
  <si>
    <t xml:space="preserve">No logo, hand-written sign in window</t>
  </si>
  <si>
    <t xml:space="preserve">Walk in Mon–Wed morning</t>
  </si>
  <si>
    <t xml:space="preserve">Harbour Coffee Co.</t>
  </si>
  <si>
    <t xml:space="preserve">Café / Food</t>
  </si>
  <si>
    <t xml:space="preserve">Barbican</t>
  </si>
  <si>
    <t xml:space="preserve">Sarah</t>
  </si>
  <si>
    <t xml:space="preserve">Brand Identity, Menu Design</t>
  </si>
  <si>
    <t xml:space="preserve">Generic logo, no consistent brand</t>
  </si>
  <si>
    <t xml:space="preserve">Drop pitch doc + sample menu</t>
  </si>
  <si>
    <t xml:space="preserve">FitFuel Plymouth</t>
  </si>
  <si>
    <t xml:space="preserve">Fitness / Gym</t>
  </si>
  <si>
    <t xml:space="preserve">City Centre</t>
  </si>
  <si>
    <t xml:space="preserve">3 – Average</t>
  </si>
  <si>
    <t xml:space="preserve">Social Media Pack, Flyer</t>
  </si>
  <si>
    <t xml:space="preserve">Cold Email</t>
  </si>
  <si>
    <t xml:space="preserve">🟡 Medium</t>
  </si>
  <si>
    <t xml:space="preserve">Instagram active but inconsistent visuals</t>
  </si>
  <si>
    <t xml:space="preserve">Find email via website</t>
  </si>
  <si>
    <t xml:space="preserve">Plymouth Pet Grooming</t>
  </si>
  <si>
    <t xml:space="preserve">Pet Services</t>
  </si>
  <si>
    <t xml:space="preserve">Mutley</t>
  </si>
  <si>
    <t xml:space="preserve">Lisa</t>
  </si>
  <si>
    <t xml:space="preserve">1 – Terrible</t>
  </si>
  <si>
    <t xml:space="preserve">Logo, Label Design</t>
  </si>
  <si>
    <t xml:space="preserve">No branding at all. Handwritten flyers.</t>
  </si>
  <si>
    <t xml:space="preserve">Visit Saturday</t>
  </si>
  <si>
    <t xml:space="preserve">The Tattoo Collective</t>
  </si>
  <si>
    <t xml:space="preserve">Beauty / Body Art</t>
  </si>
  <si>
    <t xml:space="preserve">North Hill</t>
  </si>
  <si>
    <t xml:space="preserve">Website, Social Media Pack</t>
  </si>
  <si>
    <t xml:space="preserve">LinkedIn DM</t>
  </si>
  <si>
    <t xml:space="preserve">Has Instagram, no website</t>
  </si>
  <si>
    <t xml:space="preserve">DM via Instagram or LinkedIn</t>
  </si>
  <si>
    <t xml:space="preserve">Drake's Kitchen</t>
  </si>
  <si>
    <t xml:space="preserve">Restaurant</t>
  </si>
  <si>
    <t xml:space="preserve">The Hoe</t>
  </si>
  <si>
    <t xml:space="preserve">James</t>
  </si>
  <si>
    <t xml:space="preserve">Brand Identity, Menu</t>
  </si>
  <si>
    <t xml:space="preserve">Dated logo, no consistent print material</t>
  </si>
  <si>
    <t xml:space="preserve">Visit lunchtime Tue–Thu</t>
  </si>
  <si>
    <t xml:space="preserve">Plymouth Pilates Studio</t>
  </si>
  <si>
    <t xml:space="preserve">Wellness / Fitness</t>
  </si>
  <si>
    <t xml:space="preserve">Mutley Plain</t>
  </si>
  <si>
    <t xml:space="preserve">Logo, Flyer, Website</t>
  </si>
  <si>
    <t xml:space="preserve">Wix website, generic stock images</t>
  </si>
  <si>
    <t xml:space="preserve">Email then follow up in person</t>
  </si>
  <si>
    <t xml:space="preserve">Saltwater Surf Co.</t>
  </si>
  <si>
    <t xml:space="preserve">Retail / Sport</t>
  </si>
  <si>
    <t xml:space="preserve">Tom</t>
  </si>
  <si>
    <t xml:space="preserve">3D Renders, Social Pack</t>
  </si>
  <si>
    <t xml:space="preserve">Has branding but could modernise</t>
  </si>
  <si>
    <t xml:space="preserve">Walk in weekend</t>
  </si>
  <si>
    <t xml:space="preserve">The Craft Beer House</t>
  </si>
  <si>
    <t xml:space="preserve">Bar / Hospitality</t>
  </si>
  <si>
    <t xml:space="preserve">Sutton Harbour</t>
  </si>
  <si>
    <t xml:space="preserve">Logo, Label &amp; Packaging</t>
  </si>
  <si>
    <t xml:space="preserve">No label design, uses printed stickers</t>
  </si>
  <si>
    <t xml:space="preserve">Visit evening Thurs–Fri</t>
  </si>
  <si>
    <t xml:space="preserve">Plymouth Legal Services</t>
  </si>
  <si>
    <t xml:space="preserve">Legal / Professional</t>
  </si>
  <si>
    <t xml:space="preserve">Rachel</t>
  </si>
  <si>
    <t xml:space="preserve">Brand Identity, Stationery</t>
  </si>
  <si>
    <t xml:space="preserve">🟢 Low</t>
  </si>
  <si>
    <t xml:space="preserve">Has logo, needs modernising</t>
  </si>
  <si>
    <t xml:space="preserve">Draft cold email with case study</t>
  </si>
  <si>
    <t xml:space="preserve">Southside Nail &amp; Beauty</t>
  </si>
  <si>
    <t xml:space="preserve">Beauty / Salon</t>
  </si>
  <si>
    <t xml:space="preserve">Plymstock</t>
  </si>
  <si>
    <t xml:space="preserve">Logo, Business Card, Flyer</t>
  </si>
  <si>
    <t xml:space="preserve">Facebook only, no real brand</t>
  </si>
  <si>
    <t xml:space="preserve">Visit Tues–Fri morning</t>
  </si>
  <si>
    <t xml:space="preserve">Plymouth Removals Co.</t>
  </si>
  <si>
    <t xml:space="preserve">Removals / Trade</t>
  </si>
  <si>
    <t xml:space="preserve">Estover</t>
  </si>
  <si>
    <t xml:space="preserve">Dave</t>
  </si>
  <si>
    <t xml:space="preserve">Logo, Vehicle Livery Design</t>
  </si>
  <si>
    <t xml:space="preserve">Very basic logo, van unbranded</t>
  </si>
  <si>
    <t xml:space="preserve">Phone first, then email quote</t>
  </si>
  <si>
    <t xml:space="preserve">The Yoga Loft</t>
  </si>
  <si>
    <t xml:space="preserve">Wellness</t>
  </si>
  <si>
    <t xml:space="preserve">Stoke</t>
  </si>
  <si>
    <t xml:space="preserve">Brand Identity, Social Pack</t>
  </si>
  <si>
    <t xml:space="preserve">Instagram DM</t>
  </si>
  <si>
    <t xml:space="preserve">Has aesthetic but no clear brand system</t>
  </si>
  <si>
    <t xml:space="preserve">DM on Instagram</t>
  </si>
  <si>
    <t xml:space="preserve">Ocean Estates Agency</t>
  </si>
  <si>
    <t xml:space="preserve">Property</t>
  </si>
  <si>
    <t xml:space="preserve">Fiona</t>
  </si>
  <si>
    <t xml:space="preserve">Website, Brand Refresh</t>
  </si>
  <si>
    <t xml:space="preserve">Old-fashioned website and branding</t>
  </si>
  <si>
    <t xml:space="preserve">LinkedIn message + pitch PDF</t>
  </si>
  <si>
    <t xml:space="preserve">Snap &amp; Shoot Photography</t>
  </si>
  <si>
    <t xml:space="preserve">Photography</t>
  </si>
  <si>
    <t xml:space="preserve">Plympton</t>
  </si>
  <si>
    <t xml:space="preserve">Logo, Website, Social Pack</t>
  </si>
  <si>
    <t xml:space="preserve">Stock watermark logo — needs proper brand</t>
  </si>
  <si>
    <t xml:space="preserve">Email + attach sample logo concepts</t>
  </si>
  <si>
    <t xml:space="preserve">KREO STUDIO — Campaign Dashboard</t>
  </si>
  <si>
    <t xml:space="preserve">STATUS SUMMARY</t>
  </si>
  <si>
    <t xml:space="preserve">Total Targets</t>
  </si>
  <si>
    <t xml:space="preserve">Contacted</t>
  </si>
  <si>
    <t xml:space="preserve">Meeting Booked</t>
  </si>
  <si>
    <t xml:space="preserve">Proposal Sent</t>
  </si>
  <si>
    <t xml:space="preserve">Won</t>
  </si>
  <si>
    <t xml:space="preserve">Lost</t>
  </si>
  <si>
    <t xml:space="preserve">REVENUE TRACKER</t>
  </si>
  <si>
    <t xml:space="preserve">Total Quoted</t>
  </si>
  <si>
    <t xml:space="preserve">Total Won</t>
  </si>
  <si>
    <t xml:space="preserve">Avg Deal Size</t>
  </si>
  <si>
    <t xml:space="preserve">Win Rate %</t>
  </si>
  <si>
    <t xml:space="preserve">PRIORITY BREAKDOWN</t>
  </si>
  <si>
    <t xml:space="preserve">🔴 High Priority</t>
  </si>
  <si>
    <t xml:space="preserve">🟡 Medium Priority</t>
  </si>
  <si>
    <t xml:space="preserve">🟢 Low Priority</t>
  </si>
  <si>
    <t xml:space="preserve">KREO Studio  ·  Plymouth, Devon  ·  design@kreostudio.co.uk  ·  kreostudio.co.uk</t>
  </si>
  <si>
    <t xml:space="preserve">HOW TO USE THIS TRACKER</t>
  </si>
  <si>
    <t xml:space="preserve">GETTING STARTED</t>
  </si>
  <si>
    <t xml:space="preserve">Step 1</t>
  </si>
  <si>
    <t xml:space="preserve">Go to the Pipeline tab — this is your main working sheet.</t>
  </si>
  <si>
    <t xml:space="preserve">Step 2</t>
  </si>
  <si>
    <t xml:space="preserve">Work through Plymouth businesses. Rate their branding 1–5 (1 = terrible, 5 = strong).</t>
  </si>
  <si>
    <t xml:space="preserve">Step 3</t>
  </si>
  <si>
    <t xml:space="preserve">Fill in the contact details and plan your outreach method (walk-in, email, DM etc).</t>
  </si>
  <si>
    <t xml:space="preserve">Step 4</t>
  </si>
  <si>
    <t xml:space="preserve">Set a Priority: 🔴 High = poor branding + high footfall, easy sell. 🟡 Medium = decent brand but opportunity. 🟢 Low = optional.</t>
  </si>
  <si>
    <t xml:space="preserve">Step 5</t>
  </si>
  <si>
    <t xml:space="preserve">Log your Outreach Date when you make contact and update the Status dropdown.</t>
  </si>
  <si>
    <t xml:space="preserve">Step 6</t>
  </si>
  <si>
    <t xml:space="preserve">Watch the Dashboard tab auto-update with your live stats.</t>
  </si>
  <si>
    <t xml:space="preserve">STATUS GUIDE</t>
  </si>
  <si>
    <t xml:space="preserve">You've identified the business but haven't reached out yet.</t>
  </si>
  <si>
    <t xml:space="preserve">You've sent an email, walked in, or DM'd. Waiting for a response.</t>
  </si>
  <si>
    <t xml:space="preserve">They're interested — meeting arranged. Prep your portfolio!</t>
  </si>
  <si>
    <t xml:space="preserve">You've sent a quote or pitch document. Follow up in 3–5 days.</t>
  </si>
  <si>
    <t xml:space="preserve">Client confirmed. Log the final price in the 'Won (£)' column.</t>
  </si>
  <si>
    <t xml:space="preserve">They said no. Note why in Notes — learn from it.</t>
  </si>
  <si>
    <t xml:space="preserve">Not Interested</t>
  </si>
  <si>
    <t xml:space="preserve">Definitive no. Move on quickly.</t>
  </si>
  <si>
    <t xml:space="preserve">TIPS</t>
  </si>
  <si>
    <t xml:space="preserve">Branding Score</t>
  </si>
  <si>
    <t xml:space="preserve">Low scores (1–2) = your best leads. These businesses NEED you most.</t>
  </si>
  <si>
    <t xml:space="preserve">Never leave a contact without a follow-up date. 3–5 days is standard.</t>
  </si>
  <si>
    <t xml:space="preserve">Notes column</t>
  </si>
  <si>
    <t xml:space="preserve">Write down anything useful — who you spoke to, what they said, what they're worried about.</t>
  </si>
  <si>
    <t xml:space="preserve">Be specific — 'email Tuesday' is better than 'follow up soon'.</t>
  </si>
  <si>
    <t xml:space="preserve">Walk-ins</t>
  </si>
  <si>
    <t xml:space="preserve">Best days: Tuesday–Thursday, 10am–12pm or 2pm–4pm. Avoid Mondays and Fridays.</t>
  </si>
  <si>
    <t xml:space="preserve">Cold email</t>
  </si>
  <si>
    <t xml:space="preserve">Keep it to 3 sentences: who you are, what you noticed, what you're offering.</t>
  </si>
  <si>
    <t xml:space="preserve">DASHBOARD</t>
  </si>
  <si>
    <t xml:space="preserve">Auto-updates</t>
  </si>
  <si>
    <t xml:space="preserve">The Dashboard sheet pulls live data from your Pipeline — no manual updates needed.</t>
  </si>
  <si>
    <t xml:space="preserve">Win Rate</t>
  </si>
  <si>
    <t xml:space="preserve">Aim for 15–25% in your first month. Every 'Lost' teaches you something.</t>
  </si>
  <si>
    <t xml:space="preserve">Revenue</t>
  </si>
  <si>
    <t xml:space="preserve">Fill in 'Won (£)' when a client confirms — the dashboard tracks your earnings.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</si>
</sst>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\£#,##0"/>
    <numFmt numFmtId="167" formatCode="0.0\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5C518"/>
      <name val="Arial"/>
      <family val="0"/>
      <charset val="1"/>
    </font>
    <font>
      <i val="true"/>
      <sz val="9"/>
      <color rgb="FFB0B0B0"/>
      <name val="Arial"/>
      <family val="0"/>
      <charset val="1"/>
    </font>
    <font>
      <b val="true"/>
      <sz val="9"/>
      <color rgb="FFF5C51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D0D0D"/>
      <name val="Arial"/>
      <family val="0"/>
      <charset val="1"/>
    </font>
    <font>
      <sz val="9"/>
      <color rgb="FF0D0D0D"/>
      <name val="Arial"/>
      <family val="0"/>
      <charset val="1"/>
    </font>
    <font>
      <b val="true"/>
      <sz val="9"/>
      <color rgb="FF6B6B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26"/>
      <color rgb="FFFFFFFF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i val="true"/>
      <sz val="8"/>
      <color rgb="FFB0B0B0"/>
      <name val="Arial"/>
      <family val="0"/>
      <charset val="1"/>
    </font>
    <font>
      <sz val="9"/>
      <color rgb="FF6B6B6B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D0D0D"/>
        <bgColor rgb="FF000000"/>
      </patternFill>
    </fill>
    <fill>
      <patternFill patternType="solid">
        <fgColor rgb="FFF5C518"/>
        <bgColor rgb="FFFF9900"/>
      </patternFill>
    </fill>
    <fill>
      <patternFill patternType="solid">
        <fgColor rgb="FFFFFFFF"/>
        <bgColor rgb="FFFAFAF5"/>
      </patternFill>
    </fill>
    <fill>
      <patternFill patternType="solid">
        <fgColor rgb="FFFAFAF5"/>
        <bgColor rgb="FFFFFFFF"/>
      </patternFill>
    </fill>
    <fill>
      <patternFill patternType="solid">
        <fgColor rgb="FF374151"/>
        <bgColor rgb="FF333333"/>
      </patternFill>
    </fill>
    <fill>
      <patternFill patternType="solid">
        <fgColor rgb="FF166534"/>
        <bgColor rgb="FF14532D"/>
      </patternFill>
    </fill>
    <fill>
      <patternFill patternType="solid">
        <fgColor rgb="FF854D0E"/>
        <bgColor rgb="FF993366"/>
      </patternFill>
    </fill>
    <fill>
      <patternFill patternType="solid">
        <fgColor rgb="FF1E40AF"/>
        <bgColor rgb="FF1E3A5F"/>
      </patternFill>
    </fill>
    <fill>
      <patternFill patternType="solid">
        <fgColor rgb="FF14532D"/>
        <bgColor rgb="FF166534"/>
      </patternFill>
    </fill>
    <fill>
      <patternFill patternType="solid">
        <fgColor rgb="FF7F1D1D"/>
        <bgColor rgb="FF800000"/>
      </patternFill>
    </fill>
    <fill>
      <patternFill patternType="solid">
        <fgColor rgb="FF1E3A5F"/>
        <bgColor rgb="FF374151"/>
      </patternFill>
    </fill>
    <fill>
      <patternFill patternType="solid">
        <fgColor rgb="FF4A1D96"/>
        <bgColor rgb="FF1E40A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 style="thin">
        <color rgb="FF333333"/>
      </right>
      <top/>
      <bottom style="medium">
        <color rgb="FFF5C518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/>
      <right/>
      <top/>
      <bottom style="thin">
        <color rgb="FFF5C51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2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2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4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4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4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D1FAE5"/>
        </patternFill>
      </fill>
    </dxf>
    <dxf>
      <fill>
        <patternFill>
          <bgColor rgb="FFFEE2E2"/>
        </patternFill>
      </fill>
    </dxf>
    <dxf>
      <fill>
        <patternFill>
          <bgColor rgb="FFF3F4F6"/>
        </patternFill>
      </fill>
    </dxf>
    <dxf>
      <fill>
        <patternFill>
          <bgColor rgb="FFFEF9C3"/>
        </patternFill>
      </fill>
    </dxf>
    <dxf>
      <fill>
        <patternFill>
          <bgColor rgb="FFDBEAFE"/>
        </patternFill>
      </fill>
    </dxf>
    <dxf>
      <fill>
        <patternFill>
          <bgColor rgb="FFF0FDF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1D1D"/>
      <rgbColor rgb="FF166534"/>
      <rgbColor rgb="FF000080"/>
      <rgbColor rgb="FF808000"/>
      <rgbColor rgb="FF800080"/>
      <rgbColor rgb="FF14532D"/>
      <rgbColor rgb="FFB0B0B0"/>
      <rgbColor rgb="FF888888"/>
      <rgbColor rgb="FF9999FF"/>
      <rgbColor rgb="FF993366"/>
      <rgbColor rgb="FFFEF9C3"/>
      <rgbColor rgb="FFDBEAFE"/>
      <rgbColor rgb="FF4A1D9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DF4"/>
      <rgbColor rgb="FFD1FAE5"/>
      <rgbColor rgb="FFFAFAF5"/>
      <rgbColor rgb="FFF3F4F6"/>
      <rgbColor rgb="FFFF99CC"/>
      <rgbColor rgb="FFCC99FF"/>
      <rgbColor rgb="FFFEE2E2"/>
      <rgbColor rgb="FF3366FF"/>
      <rgbColor rgb="FF33CCCC"/>
      <rgbColor rgb="FF99CC00"/>
      <rgbColor rgb="FFF5C518"/>
      <rgbColor rgb="FFFF9900"/>
      <rgbColor rgb="FFFF6600"/>
      <rgbColor rgb="FF6B6B6B"/>
      <rgbColor rgb="FF969696"/>
      <rgbColor rgb="FF1E3A5F"/>
      <rgbColor rgb="FF339966"/>
      <rgbColor rgb="FF0D0D0D"/>
      <rgbColor rgb="FF374151"/>
      <rgbColor rgb="FF854D0E"/>
      <rgbColor rgb="FF993366"/>
      <rgbColor rgb="FF1E40A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0D0D"/>
    <pageSetUpPr fitToPage="false"/>
  </sheetPr>
  <dimension ref="A1:R10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6" min="6" style="0" width="26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22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8"/>
    <col collapsed="false" customWidth="true" hidden="false" outlineLevel="0" max="13" min="13" style="0" width="14"/>
    <col collapsed="false" customWidth="true" hidden="false" outlineLevel="0" max="15" min="14" style="0" width="12"/>
    <col collapsed="false" customWidth="true" hidden="false" outlineLevel="0" max="16" min="16" style="0" width="11"/>
    <col collapsed="false" customWidth="true" hidden="false" outlineLevel="0" max="17" min="17" style="0" width="34"/>
    <col collapsed="false" customWidth="true" hidden="false" outlineLevel="0" max="18" min="18" style="0" width="26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3" t="s">
        <v>2</v>
      </c>
      <c r="L2" s="3"/>
      <c r="M2" s="3"/>
      <c r="N2" s="3"/>
      <c r="O2" s="3"/>
      <c r="P2" s="3"/>
      <c r="Q2" s="3"/>
      <c r="R2" s="3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customFormat="false" ht="39.75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</row>
    <row r="5" customFormat="false" ht="30" hidden="false" customHeight="true" outlineLevel="0" collapsed="false">
      <c r="A5" s="6" t="n">
        <v>1</v>
      </c>
      <c r="B5" s="7" t="s">
        <v>21</v>
      </c>
      <c r="C5" s="7" t="s">
        <v>22</v>
      </c>
      <c r="D5" s="7" t="s">
        <v>23</v>
      </c>
      <c r="E5" s="7" t="s">
        <v>24</v>
      </c>
      <c r="F5" s="7"/>
      <c r="G5" s="7" t="s">
        <v>25</v>
      </c>
      <c r="H5" s="7" t="s">
        <v>26</v>
      </c>
      <c r="I5" s="7" t="s">
        <v>27</v>
      </c>
      <c r="J5" s="7" t="s">
        <v>28</v>
      </c>
      <c r="K5" s="8" t="s">
        <v>29</v>
      </c>
      <c r="L5" s="9" t="s">
        <v>30</v>
      </c>
      <c r="M5" s="8" t="s">
        <v>31</v>
      </c>
      <c r="N5" s="9"/>
      <c r="O5" s="9"/>
      <c r="P5" s="7" t="s">
        <v>32</v>
      </c>
      <c r="Q5" s="7" t="s">
        <v>33</v>
      </c>
      <c r="R5" s="7" t="s">
        <v>34</v>
      </c>
    </row>
    <row r="6" customFormat="false" ht="30" hidden="false" customHeight="true" outlineLevel="0" collapsed="false">
      <c r="A6" s="10" t="n">
        <v>2</v>
      </c>
      <c r="B6" s="11" t="s">
        <v>35</v>
      </c>
      <c r="C6" s="11" t="s">
        <v>36</v>
      </c>
      <c r="D6" s="11" t="s">
        <v>37</v>
      </c>
      <c r="E6" s="11" t="s">
        <v>38</v>
      </c>
      <c r="F6" s="11"/>
      <c r="G6" s="11"/>
      <c r="H6" s="11" t="s">
        <v>26</v>
      </c>
      <c r="I6" s="11" t="s">
        <v>39</v>
      </c>
      <c r="J6" s="11" t="s">
        <v>28</v>
      </c>
      <c r="K6" s="12" t="s">
        <v>29</v>
      </c>
      <c r="L6" s="13" t="s">
        <v>30</v>
      </c>
      <c r="M6" s="12" t="s">
        <v>31</v>
      </c>
      <c r="N6" s="13"/>
      <c r="O6" s="13"/>
      <c r="P6" s="11" t="s">
        <v>32</v>
      </c>
      <c r="Q6" s="11" t="s">
        <v>40</v>
      </c>
      <c r="R6" s="11" t="s">
        <v>41</v>
      </c>
    </row>
    <row r="7" customFormat="false" ht="30" hidden="false" customHeight="true" outlineLevel="0" collapsed="false">
      <c r="A7" s="6" t="n">
        <v>3</v>
      </c>
      <c r="B7" s="7" t="s">
        <v>42</v>
      </c>
      <c r="C7" s="7" t="s">
        <v>43</v>
      </c>
      <c r="D7" s="7" t="s">
        <v>44</v>
      </c>
      <c r="E7" s="7"/>
      <c r="F7" s="7"/>
      <c r="G7" s="7"/>
      <c r="H7" s="7" t="s">
        <v>45</v>
      </c>
      <c r="I7" s="7" t="s">
        <v>46</v>
      </c>
      <c r="J7" s="7" t="s">
        <v>47</v>
      </c>
      <c r="K7" s="8"/>
      <c r="L7" s="9" t="s">
        <v>30</v>
      </c>
      <c r="M7" s="8"/>
      <c r="N7" s="9"/>
      <c r="O7" s="9"/>
      <c r="P7" s="7" t="s">
        <v>48</v>
      </c>
      <c r="Q7" s="7" t="s">
        <v>49</v>
      </c>
      <c r="R7" s="7" t="s">
        <v>50</v>
      </c>
    </row>
    <row r="8" customFormat="false" ht="30" hidden="false" customHeight="true" outlineLevel="0" collapsed="false">
      <c r="A8" s="10" t="n">
        <v>4</v>
      </c>
      <c r="B8" s="11" t="s">
        <v>51</v>
      </c>
      <c r="C8" s="11" t="s">
        <v>52</v>
      </c>
      <c r="D8" s="11" t="s">
        <v>53</v>
      </c>
      <c r="E8" s="11" t="s">
        <v>54</v>
      </c>
      <c r="F8" s="11"/>
      <c r="G8" s="11"/>
      <c r="H8" s="11" t="s">
        <v>55</v>
      </c>
      <c r="I8" s="11" t="s">
        <v>56</v>
      </c>
      <c r="J8" s="11" t="s">
        <v>28</v>
      </c>
      <c r="K8" s="12"/>
      <c r="L8" s="13" t="s">
        <v>30</v>
      </c>
      <c r="M8" s="12"/>
      <c r="N8" s="13"/>
      <c r="O8" s="13"/>
      <c r="P8" s="11" t="s">
        <v>32</v>
      </c>
      <c r="Q8" s="11" t="s">
        <v>57</v>
      </c>
      <c r="R8" s="11" t="s">
        <v>58</v>
      </c>
    </row>
    <row r="9" customFormat="false" ht="30" hidden="false" customHeight="true" outlineLevel="0" collapsed="false">
      <c r="A9" s="6" t="n">
        <v>5</v>
      </c>
      <c r="B9" s="7" t="s">
        <v>59</v>
      </c>
      <c r="C9" s="7" t="s">
        <v>60</v>
      </c>
      <c r="D9" s="7" t="s">
        <v>61</v>
      </c>
      <c r="E9" s="7"/>
      <c r="F9" s="7"/>
      <c r="G9" s="7"/>
      <c r="H9" s="7" t="s">
        <v>45</v>
      </c>
      <c r="I9" s="7" t="s">
        <v>62</v>
      </c>
      <c r="J9" s="7" t="s">
        <v>63</v>
      </c>
      <c r="K9" s="8"/>
      <c r="L9" s="9" t="s">
        <v>30</v>
      </c>
      <c r="M9" s="8"/>
      <c r="N9" s="9"/>
      <c r="O9" s="9"/>
      <c r="P9" s="7" t="s">
        <v>48</v>
      </c>
      <c r="Q9" s="7" t="s">
        <v>64</v>
      </c>
      <c r="R9" s="7" t="s">
        <v>65</v>
      </c>
    </row>
    <row r="10" customFormat="false" ht="30" hidden="false" customHeight="true" outlineLevel="0" collapsed="false">
      <c r="A10" s="10" t="n">
        <v>6</v>
      </c>
      <c r="B10" s="11" t="s">
        <v>66</v>
      </c>
      <c r="C10" s="11" t="s">
        <v>67</v>
      </c>
      <c r="D10" s="11" t="s">
        <v>68</v>
      </c>
      <c r="E10" s="11" t="s">
        <v>69</v>
      </c>
      <c r="F10" s="11"/>
      <c r="G10" s="11"/>
      <c r="H10" s="11" t="s">
        <v>26</v>
      </c>
      <c r="I10" s="11" t="s">
        <v>70</v>
      </c>
      <c r="J10" s="11" t="s">
        <v>28</v>
      </c>
      <c r="K10" s="12"/>
      <c r="L10" s="13" t="s">
        <v>30</v>
      </c>
      <c r="M10" s="12"/>
      <c r="N10" s="13"/>
      <c r="O10" s="13"/>
      <c r="P10" s="11" t="s">
        <v>32</v>
      </c>
      <c r="Q10" s="11" t="s">
        <v>71</v>
      </c>
      <c r="R10" s="11" t="s">
        <v>72</v>
      </c>
    </row>
    <row r="11" customFormat="false" ht="30" hidden="false" customHeight="true" outlineLevel="0" collapsed="false">
      <c r="A11" s="6" t="n">
        <v>7</v>
      </c>
      <c r="B11" s="7" t="s">
        <v>73</v>
      </c>
      <c r="C11" s="7" t="s">
        <v>74</v>
      </c>
      <c r="D11" s="7" t="s">
        <v>75</v>
      </c>
      <c r="E11" s="7"/>
      <c r="F11" s="7"/>
      <c r="G11" s="7"/>
      <c r="H11" s="7" t="s">
        <v>26</v>
      </c>
      <c r="I11" s="7" t="s">
        <v>76</v>
      </c>
      <c r="J11" s="7" t="s">
        <v>47</v>
      </c>
      <c r="K11" s="8"/>
      <c r="L11" s="9" t="s">
        <v>30</v>
      </c>
      <c r="M11" s="8"/>
      <c r="N11" s="9"/>
      <c r="O11" s="9"/>
      <c r="P11" s="7" t="s">
        <v>48</v>
      </c>
      <c r="Q11" s="7" t="s">
        <v>77</v>
      </c>
      <c r="R11" s="7" t="s">
        <v>78</v>
      </c>
    </row>
    <row r="12" customFormat="false" ht="30" hidden="false" customHeight="true" outlineLevel="0" collapsed="false">
      <c r="A12" s="10" t="n">
        <v>8</v>
      </c>
      <c r="B12" s="11" t="s">
        <v>79</v>
      </c>
      <c r="C12" s="11" t="s">
        <v>80</v>
      </c>
      <c r="D12" s="11" t="s">
        <v>37</v>
      </c>
      <c r="E12" s="11" t="s">
        <v>81</v>
      </c>
      <c r="F12" s="11"/>
      <c r="G12" s="11"/>
      <c r="H12" s="11" t="s">
        <v>45</v>
      </c>
      <c r="I12" s="11" t="s">
        <v>82</v>
      </c>
      <c r="J12" s="11" t="s">
        <v>28</v>
      </c>
      <c r="K12" s="12"/>
      <c r="L12" s="13" t="s">
        <v>30</v>
      </c>
      <c r="M12" s="12"/>
      <c r="N12" s="13"/>
      <c r="O12" s="13"/>
      <c r="P12" s="11" t="s">
        <v>48</v>
      </c>
      <c r="Q12" s="11" t="s">
        <v>83</v>
      </c>
      <c r="R12" s="11" t="s">
        <v>84</v>
      </c>
    </row>
    <row r="13" customFormat="false" ht="30" hidden="false" customHeight="true" outlineLevel="0" collapsed="false">
      <c r="A13" s="6" t="n">
        <v>9</v>
      </c>
      <c r="B13" s="7" t="s">
        <v>85</v>
      </c>
      <c r="C13" s="7" t="s">
        <v>86</v>
      </c>
      <c r="D13" s="7" t="s">
        <v>87</v>
      </c>
      <c r="E13" s="7"/>
      <c r="F13" s="7"/>
      <c r="G13" s="7"/>
      <c r="H13" s="7" t="s">
        <v>55</v>
      </c>
      <c r="I13" s="7" t="s">
        <v>88</v>
      </c>
      <c r="J13" s="7" t="s">
        <v>28</v>
      </c>
      <c r="K13" s="8"/>
      <c r="L13" s="9" t="s">
        <v>30</v>
      </c>
      <c r="M13" s="8"/>
      <c r="N13" s="9"/>
      <c r="O13" s="9"/>
      <c r="P13" s="7" t="s">
        <v>32</v>
      </c>
      <c r="Q13" s="7" t="s">
        <v>89</v>
      </c>
      <c r="R13" s="7" t="s">
        <v>90</v>
      </c>
    </row>
    <row r="14" customFormat="false" ht="30" hidden="false" customHeight="true" outlineLevel="0" collapsed="false">
      <c r="A14" s="10" t="n">
        <v>10</v>
      </c>
      <c r="B14" s="11" t="s">
        <v>91</v>
      </c>
      <c r="C14" s="11" t="s">
        <v>92</v>
      </c>
      <c r="D14" s="11" t="s">
        <v>44</v>
      </c>
      <c r="E14" s="11" t="s">
        <v>93</v>
      </c>
      <c r="F14" s="11"/>
      <c r="G14" s="11"/>
      <c r="H14" s="11" t="s">
        <v>45</v>
      </c>
      <c r="I14" s="11" t="s">
        <v>94</v>
      </c>
      <c r="J14" s="11" t="s">
        <v>47</v>
      </c>
      <c r="K14" s="12"/>
      <c r="L14" s="13" t="s">
        <v>30</v>
      </c>
      <c r="M14" s="12"/>
      <c r="N14" s="13"/>
      <c r="O14" s="13"/>
      <c r="P14" s="11" t="s">
        <v>95</v>
      </c>
      <c r="Q14" s="11" t="s">
        <v>96</v>
      </c>
      <c r="R14" s="11" t="s">
        <v>97</v>
      </c>
    </row>
    <row r="15" customFormat="false" ht="30" hidden="false" customHeight="true" outlineLevel="0" collapsed="false">
      <c r="A15" s="6" t="n">
        <v>11</v>
      </c>
      <c r="B15" s="7" t="s">
        <v>98</v>
      </c>
      <c r="C15" s="7" t="s">
        <v>99</v>
      </c>
      <c r="D15" s="7" t="s">
        <v>100</v>
      </c>
      <c r="E15" s="7"/>
      <c r="F15" s="7"/>
      <c r="G15" s="7"/>
      <c r="H15" s="7" t="s">
        <v>26</v>
      </c>
      <c r="I15" s="7" t="s">
        <v>101</v>
      </c>
      <c r="J15" s="7" t="s">
        <v>28</v>
      </c>
      <c r="K15" s="8"/>
      <c r="L15" s="9" t="s">
        <v>30</v>
      </c>
      <c r="M15" s="8"/>
      <c r="N15" s="9"/>
      <c r="O15" s="9"/>
      <c r="P15" s="7" t="s">
        <v>48</v>
      </c>
      <c r="Q15" s="7" t="s">
        <v>102</v>
      </c>
      <c r="R15" s="7" t="s">
        <v>103</v>
      </c>
    </row>
    <row r="16" customFormat="false" ht="30" hidden="false" customHeight="true" outlineLevel="0" collapsed="false">
      <c r="A16" s="10" t="n">
        <v>12</v>
      </c>
      <c r="B16" s="11" t="s">
        <v>104</v>
      </c>
      <c r="C16" s="11" t="s">
        <v>105</v>
      </c>
      <c r="D16" s="11" t="s">
        <v>106</v>
      </c>
      <c r="E16" s="11" t="s">
        <v>107</v>
      </c>
      <c r="F16" s="11"/>
      <c r="G16" s="11"/>
      <c r="H16" s="11" t="s">
        <v>26</v>
      </c>
      <c r="I16" s="11" t="s">
        <v>108</v>
      </c>
      <c r="J16" s="11" t="s">
        <v>47</v>
      </c>
      <c r="K16" s="12"/>
      <c r="L16" s="13" t="s">
        <v>30</v>
      </c>
      <c r="M16" s="12"/>
      <c r="N16" s="13"/>
      <c r="O16" s="13"/>
      <c r="P16" s="11" t="s">
        <v>48</v>
      </c>
      <c r="Q16" s="11" t="s">
        <v>109</v>
      </c>
      <c r="R16" s="11" t="s">
        <v>110</v>
      </c>
    </row>
    <row r="17" customFormat="false" ht="30" hidden="false" customHeight="true" outlineLevel="0" collapsed="false">
      <c r="A17" s="6" t="n">
        <v>13</v>
      </c>
      <c r="B17" s="7" t="s">
        <v>111</v>
      </c>
      <c r="C17" s="7" t="s">
        <v>112</v>
      </c>
      <c r="D17" s="7" t="s">
        <v>113</v>
      </c>
      <c r="E17" s="7"/>
      <c r="F17" s="7"/>
      <c r="G17" s="7"/>
      <c r="H17" s="7" t="s">
        <v>45</v>
      </c>
      <c r="I17" s="7" t="s">
        <v>114</v>
      </c>
      <c r="J17" s="7" t="s">
        <v>115</v>
      </c>
      <c r="K17" s="8"/>
      <c r="L17" s="9" t="s">
        <v>30</v>
      </c>
      <c r="M17" s="8"/>
      <c r="N17" s="9"/>
      <c r="O17" s="9"/>
      <c r="P17" s="7" t="s">
        <v>95</v>
      </c>
      <c r="Q17" s="7" t="s">
        <v>116</v>
      </c>
      <c r="R17" s="7" t="s">
        <v>117</v>
      </c>
    </row>
    <row r="18" customFormat="false" ht="30" hidden="false" customHeight="true" outlineLevel="0" collapsed="false">
      <c r="A18" s="10" t="n">
        <v>14</v>
      </c>
      <c r="B18" s="11" t="s">
        <v>118</v>
      </c>
      <c r="C18" s="11" t="s">
        <v>119</v>
      </c>
      <c r="D18" s="11" t="s">
        <v>44</v>
      </c>
      <c r="E18" s="11" t="s">
        <v>120</v>
      </c>
      <c r="F18" s="11"/>
      <c r="G18" s="11"/>
      <c r="H18" s="11" t="s">
        <v>45</v>
      </c>
      <c r="I18" s="11" t="s">
        <v>121</v>
      </c>
      <c r="J18" s="11" t="s">
        <v>63</v>
      </c>
      <c r="K18" s="12"/>
      <c r="L18" s="13" t="s">
        <v>30</v>
      </c>
      <c r="M18" s="12"/>
      <c r="N18" s="13"/>
      <c r="O18" s="13"/>
      <c r="P18" s="11" t="s">
        <v>48</v>
      </c>
      <c r="Q18" s="11" t="s">
        <v>122</v>
      </c>
      <c r="R18" s="11" t="s">
        <v>123</v>
      </c>
    </row>
    <row r="19" customFormat="false" ht="30" hidden="false" customHeight="true" outlineLevel="0" collapsed="false">
      <c r="A19" s="6" t="n">
        <v>15</v>
      </c>
      <c r="B19" s="7" t="s">
        <v>124</v>
      </c>
      <c r="C19" s="7" t="s">
        <v>125</v>
      </c>
      <c r="D19" s="7" t="s">
        <v>126</v>
      </c>
      <c r="E19" s="7"/>
      <c r="F19" s="7"/>
      <c r="G19" s="7"/>
      <c r="H19" s="7" t="s">
        <v>26</v>
      </c>
      <c r="I19" s="7" t="s">
        <v>127</v>
      </c>
      <c r="J19" s="7" t="s">
        <v>47</v>
      </c>
      <c r="K19" s="8"/>
      <c r="L19" s="9" t="s">
        <v>30</v>
      </c>
      <c r="M19" s="8"/>
      <c r="N19" s="9"/>
      <c r="O19" s="9"/>
      <c r="P19" s="7" t="s">
        <v>48</v>
      </c>
      <c r="Q19" s="7" t="s">
        <v>128</v>
      </c>
      <c r="R19" s="7" t="s">
        <v>129</v>
      </c>
    </row>
    <row r="20" customFormat="false" ht="30" hidden="false" customHeight="true" outlineLevel="0" collapsed="false">
      <c r="A20" s="14" t="n">
        <v>16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</row>
    <row r="21" customFormat="false" ht="30" hidden="false" customHeight="true" outlineLevel="0" collapsed="false">
      <c r="A21" s="16" t="n">
        <v>17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</row>
    <row r="22" customFormat="false" ht="30" hidden="false" customHeight="true" outlineLevel="0" collapsed="false">
      <c r="A22" s="14" t="n">
        <v>18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customFormat="false" ht="30" hidden="false" customHeight="true" outlineLevel="0" collapsed="false">
      <c r="A23" s="16" t="n">
        <v>19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</row>
    <row r="24" customFormat="false" ht="30" hidden="false" customHeight="true" outlineLevel="0" collapsed="false">
      <c r="A24" s="14" t="n">
        <v>20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</row>
    <row r="25" customFormat="false" ht="30" hidden="false" customHeight="true" outlineLevel="0" collapsed="false">
      <c r="A25" s="16" t="n">
        <v>21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</row>
    <row r="26" customFormat="false" ht="30" hidden="false" customHeight="true" outlineLevel="0" collapsed="false">
      <c r="A26" s="14" t="n">
        <v>22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</row>
    <row r="27" customFormat="false" ht="30" hidden="false" customHeight="true" outlineLevel="0" collapsed="false">
      <c r="A27" s="16" t="n">
        <v>23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</row>
    <row r="28" customFormat="false" ht="30" hidden="false" customHeight="true" outlineLevel="0" collapsed="false">
      <c r="A28" s="14" t="n">
        <v>24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</row>
    <row r="29" customFormat="false" ht="30" hidden="false" customHeight="true" outlineLevel="0" collapsed="false">
      <c r="A29" s="16" t="n">
        <v>25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</row>
    <row r="30" customFormat="false" ht="30" hidden="false" customHeight="true" outlineLevel="0" collapsed="false">
      <c r="A30" s="14" t="n">
        <v>26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</row>
    <row r="31" customFormat="false" ht="30" hidden="false" customHeight="true" outlineLevel="0" collapsed="false">
      <c r="A31" s="16" t="n">
        <v>27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</row>
    <row r="32" customFormat="false" ht="30" hidden="false" customHeight="true" outlineLevel="0" collapsed="false">
      <c r="A32" s="14" t="n">
        <v>28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</row>
    <row r="33" customFormat="false" ht="30" hidden="false" customHeight="true" outlineLevel="0" collapsed="false">
      <c r="A33" s="16" t="n">
        <v>29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</row>
    <row r="34" customFormat="false" ht="30" hidden="false" customHeight="true" outlineLevel="0" collapsed="false">
      <c r="A34" s="14" t="n">
        <v>30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</row>
    <row r="35" customFormat="false" ht="30" hidden="false" customHeight="true" outlineLevel="0" collapsed="false">
      <c r="A35" s="16" t="n">
        <v>31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</row>
    <row r="36" customFormat="false" ht="30" hidden="false" customHeight="true" outlineLevel="0" collapsed="false">
      <c r="A36" s="14" t="n">
        <v>32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</row>
    <row r="37" customFormat="false" ht="30" hidden="false" customHeight="true" outlineLevel="0" collapsed="false">
      <c r="A37" s="16" t="n">
        <v>33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</row>
    <row r="38" customFormat="false" ht="30" hidden="false" customHeight="true" outlineLevel="0" collapsed="false">
      <c r="A38" s="14" t="n">
        <v>34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</row>
    <row r="39" customFormat="false" ht="30" hidden="false" customHeight="true" outlineLevel="0" collapsed="false">
      <c r="A39" s="16" t="n">
        <v>35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</row>
    <row r="40" customFormat="false" ht="30" hidden="false" customHeight="true" outlineLevel="0" collapsed="false">
      <c r="A40" s="14" t="n">
        <v>36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</row>
    <row r="41" customFormat="false" ht="30" hidden="false" customHeight="true" outlineLevel="0" collapsed="false">
      <c r="A41" s="16" t="n">
        <v>37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</row>
    <row r="42" customFormat="false" ht="30" hidden="false" customHeight="true" outlineLevel="0" collapsed="false">
      <c r="A42" s="14" t="n">
        <v>38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</row>
    <row r="43" customFormat="false" ht="30" hidden="false" customHeight="true" outlineLevel="0" collapsed="false">
      <c r="A43" s="16" t="n">
        <v>39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</row>
    <row r="44" customFormat="false" ht="30" hidden="false" customHeight="true" outlineLevel="0" collapsed="false">
      <c r="A44" s="14" t="n">
        <v>40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</row>
    <row r="45" customFormat="false" ht="30" hidden="false" customHeight="true" outlineLevel="0" collapsed="false">
      <c r="A45" s="16" t="n">
        <v>41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</row>
    <row r="46" customFormat="false" ht="30" hidden="false" customHeight="true" outlineLevel="0" collapsed="false">
      <c r="A46" s="14" t="n">
        <v>42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</row>
    <row r="47" customFormat="false" ht="30" hidden="false" customHeight="true" outlineLevel="0" collapsed="false">
      <c r="A47" s="16" t="n">
        <v>43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</row>
    <row r="48" customFormat="false" ht="30" hidden="false" customHeight="true" outlineLevel="0" collapsed="false">
      <c r="A48" s="14" t="n">
        <v>44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</row>
    <row r="49" customFormat="false" ht="30" hidden="false" customHeight="true" outlineLevel="0" collapsed="false">
      <c r="A49" s="16" t="n">
        <v>45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</row>
    <row r="50" customFormat="false" ht="30" hidden="false" customHeight="true" outlineLevel="0" collapsed="false">
      <c r="A50" s="14" t="n">
        <v>46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</row>
    <row r="51" customFormat="false" ht="30" hidden="false" customHeight="true" outlineLevel="0" collapsed="false">
      <c r="A51" s="16" t="n">
        <v>47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</row>
    <row r="52" customFormat="false" ht="30" hidden="false" customHeight="true" outlineLevel="0" collapsed="false">
      <c r="A52" s="14" t="n">
        <v>48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</row>
    <row r="53" customFormat="false" ht="30" hidden="false" customHeight="true" outlineLevel="0" collapsed="false">
      <c r="A53" s="16" t="n">
        <v>49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</row>
    <row r="54" customFormat="false" ht="30" hidden="false" customHeight="true" outlineLevel="0" collapsed="false">
      <c r="A54" s="14" t="n">
        <v>50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</row>
    <row r="55" customFormat="false" ht="30" hidden="false" customHeight="true" outlineLevel="0" collapsed="false">
      <c r="A55" s="16" t="n">
        <v>51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</row>
    <row r="56" customFormat="false" ht="30" hidden="false" customHeight="true" outlineLevel="0" collapsed="false">
      <c r="A56" s="14" t="n">
        <v>52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</row>
    <row r="57" customFormat="false" ht="30" hidden="false" customHeight="true" outlineLevel="0" collapsed="false">
      <c r="A57" s="16" t="n">
        <v>53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</row>
    <row r="58" customFormat="false" ht="30" hidden="false" customHeight="true" outlineLevel="0" collapsed="false">
      <c r="A58" s="14" t="n">
        <v>54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</row>
    <row r="59" customFormat="false" ht="30" hidden="false" customHeight="true" outlineLevel="0" collapsed="false">
      <c r="A59" s="16" t="n">
        <v>55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</row>
    <row r="60" customFormat="false" ht="30" hidden="false" customHeight="true" outlineLevel="0" collapsed="false">
      <c r="A60" s="14" t="n">
        <v>56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</row>
    <row r="61" customFormat="false" ht="30" hidden="false" customHeight="true" outlineLevel="0" collapsed="false">
      <c r="A61" s="16" t="n">
        <v>57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</row>
    <row r="62" customFormat="false" ht="30" hidden="false" customHeight="true" outlineLevel="0" collapsed="false">
      <c r="A62" s="14" t="n">
        <v>58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</row>
    <row r="63" customFormat="false" ht="30" hidden="false" customHeight="true" outlineLevel="0" collapsed="false">
      <c r="A63" s="16" t="n">
        <v>59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</row>
    <row r="64" customFormat="false" ht="30" hidden="false" customHeight="true" outlineLevel="0" collapsed="false">
      <c r="A64" s="14" t="n">
        <v>60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</row>
    <row r="65" customFormat="false" ht="30" hidden="false" customHeight="true" outlineLevel="0" collapsed="false">
      <c r="A65" s="16" t="n">
        <v>61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</row>
    <row r="66" customFormat="false" ht="30" hidden="false" customHeight="true" outlineLevel="0" collapsed="false">
      <c r="A66" s="14" t="n">
        <v>62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</row>
    <row r="67" customFormat="false" ht="30" hidden="false" customHeight="true" outlineLevel="0" collapsed="false">
      <c r="A67" s="16" t="n">
        <v>63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</row>
    <row r="68" customFormat="false" ht="30" hidden="false" customHeight="true" outlineLevel="0" collapsed="false">
      <c r="A68" s="14" t="n">
        <v>64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</row>
    <row r="69" customFormat="false" ht="30" hidden="false" customHeight="true" outlineLevel="0" collapsed="false">
      <c r="A69" s="16" t="n">
        <v>65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</row>
    <row r="70" customFormat="false" ht="30" hidden="false" customHeight="true" outlineLevel="0" collapsed="false">
      <c r="A70" s="14" t="n">
        <v>66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</row>
    <row r="71" customFormat="false" ht="30" hidden="false" customHeight="true" outlineLevel="0" collapsed="false">
      <c r="A71" s="16" t="n">
        <v>67</v>
      </c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</row>
    <row r="72" customFormat="false" ht="30" hidden="false" customHeight="true" outlineLevel="0" collapsed="false">
      <c r="A72" s="14" t="n">
        <v>68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</row>
    <row r="73" customFormat="false" ht="30" hidden="false" customHeight="true" outlineLevel="0" collapsed="false">
      <c r="A73" s="16" t="n">
        <v>69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</row>
    <row r="74" customFormat="false" ht="30" hidden="false" customHeight="true" outlineLevel="0" collapsed="false">
      <c r="A74" s="14" t="n">
        <v>70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</row>
    <row r="75" customFormat="false" ht="30" hidden="false" customHeight="true" outlineLevel="0" collapsed="false">
      <c r="A75" s="16" t="n">
        <v>71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</row>
    <row r="76" customFormat="false" ht="30" hidden="false" customHeight="true" outlineLevel="0" collapsed="false">
      <c r="A76" s="14" t="n">
        <v>72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</row>
    <row r="77" customFormat="false" ht="30" hidden="false" customHeight="true" outlineLevel="0" collapsed="false">
      <c r="A77" s="16" t="n">
        <v>73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</row>
    <row r="78" customFormat="false" ht="30" hidden="false" customHeight="true" outlineLevel="0" collapsed="false">
      <c r="A78" s="14" t="n">
        <v>74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</row>
    <row r="79" customFormat="false" ht="30" hidden="false" customHeight="true" outlineLevel="0" collapsed="false">
      <c r="A79" s="16" t="n">
        <v>75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</row>
    <row r="80" customFormat="false" ht="30" hidden="false" customHeight="true" outlineLevel="0" collapsed="false">
      <c r="A80" s="14" t="n">
        <v>76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</row>
    <row r="81" customFormat="false" ht="30" hidden="false" customHeight="true" outlineLevel="0" collapsed="false">
      <c r="A81" s="16" t="n">
        <v>77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</row>
    <row r="82" customFormat="false" ht="30" hidden="false" customHeight="true" outlineLevel="0" collapsed="false">
      <c r="A82" s="14" t="n">
        <v>78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</row>
    <row r="83" customFormat="false" ht="30" hidden="false" customHeight="true" outlineLevel="0" collapsed="false">
      <c r="A83" s="16" t="n">
        <v>79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</row>
    <row r="84" customFormat="false" ht="30" hidden="false" customHeight="true" outlineLevel="0" collapsed="false">
      <c r="A84" s="14" t="n">
        <v>80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</row>
    <row r="85" customFormat="false" ht="30" hidden="false" customHeight="true" outlineLevel="0" collapsed="false">
      <c r="A85" s="16" t="n">
        <v>81</v>
      </c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</row>
    <row r="86" customFormat="false" ht="30" hidden="false" customHeight="true" outlineLevel="0" collapsed="false">
      <c r="A86" s="14" t="n">
        <v>82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</row>
    <row r="87" customFormat="false" ht="30" hidden="false" customHeight="true" outlineLevel="0" collapsed="false">
      <c r="A87" s="16" t="n">
        <v>83</v>
      </c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</row>
    <row r="88" customFormat="false" ht="30" hidden="false" customHeight="true" outlineLevel="0" collapsed="false">
      <c r="A88" s="14" t="n">
        <v>84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</row>
    <row r="89" customFormat="false" ht="30" hidden="false" customHeight="true" outlineLevel="0" collapsed="false">
      <c r="A89" s="16" t="n">
        <v>85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</row>
    <row r="90" customFormat="false" ht="30" hidden="false" customHeight="true" outlineLevel="0" collapsed="false">
      <c r="A90" s="14" t="n">
        <v>86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</row>
    <row r="91" customFormat="false" ht="30" hidden="false" customHeight="true" outlineLevel="0" collapsed="false">
      <c r="A91" s="16" t="n">
        <v>87</v>
      </c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</row>
    <row r="92" customFormat="false" ht="30" hidden="false" customHeight="true" outlineLevel="0" collapsed="false">
      <c r="A92" s="14" t="n">
        <v>88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</row>
    <row r="93" customFormat="false" ht="30" hidden="false" customHeight="true" outlineLevel="0" collapsed="false">
      <c r="A93" s="16" t="n">
        <v>89</v>
      </c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</row>
    <row r="94" customFormat="false" ht="30" hidden="false" customHeight="true" outlineLevel="0" collapsed="false">
      <c r="A94" s="14" t="n">
        <v>90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</row>
    <row r="95" customFormat="false" ht="30" hidden="false" customHeight="true" outlineLevel="0" collapsed="false">
      <c r="A95" s="16" t="n">
        <v>91</v>
      </c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</row>
    <row r="96" customFormat="false" ht="30" hidden="false" customHeight="true" outlineLevel="0" collapsed="false">
      <c r="A96" s="14" t="n">
        <v>92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</row>
    <row r="97" customFormat="false" ht="30" hidden="false" customHeight="true" outlineLevel="0" collapsed="false">
      <c r="A97" s="16" t="n">
        <v>93</v>
      </c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</row>
    <row r="98" customFormat="false" ht="30" hidden="false" customHeight="true" outlineLevel="0" collapsed="false">
      <c r="A98" s="14" t="n">
        <v>94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</row>
    <row r="99" customFormat="false" ht="30" hidden="false" customHeight="true" outlineLevel="0" collapsed="false">
      <c r="A99" s="16" t="n">
        <v>95</v>
      </c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</row>
    <row r="100" customFormat="false" ht="30" hidden="false" customHeight="true" outlineLevel="0" collapsed="false">
      <c r="A100" s="14" t="n">
        <v>96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</row>
    <row r="101" customFormat="false" ht="30" hidden="false" customHeight="true" outlineLevel="0" collapsed="false">
      <c r="A101" s="16" t="n">
        <v>97</v>
      </c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</row>
    <row r="102" customFormat="false" ht="30" hidden="false" customHeight="true" outlineLevel="0" collapsed="false">
      <c r="A102" s="14" t="n">
        <v>98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</row>
    <row r="103" customFormat="false" ht="30" hidden="false" customHeight="true" outlineLevel="0" collapsed="false">
      <c r="A103" s="16" t="n">
        <v>99</v>
      </c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</row>
    <row r="104" customFormat="false" ht="30" hidden="false" customHeight="true" outlineLevel="0" collapsed="false">
      <c r="A104" s="14" t="n">
        <v>100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</row>
  </sheetData>
  <mergeCells count="3">
    <mergeCell ref="A1:R1"/>
    <mergeCell ref="A2:J2"/>
    <mergeCell ref="K2:R2"/>
  </mergeCells>
  <conditionalFormatting sqref="A5:R104">
    <cfRule type="expression" priority="2" aboveAverage="0" equalAverage="0" bottom="0" percent="0" rank="0" text="" dxfId="0">
      <formula>$L5="Won"</formula>
    </cfRule>
    <cfRule type="expression" priority="3" aboveAverage="0" equalAverage="0" bottom="0" percent="0" rank="0" text="" dxfId="1">
      <formula>$L5="Lost"</formula>
    </cfRule>
    <cfRule type="expression" priority="4" aboveAverage="0" equalAverage="0" bottom="0" percent="0" rank="0" text="" dxfId="2">
      <formula>$L5="Not Interested"</formula>
    </cfRule>
    <cfRule type="expression" priority="5" aboveAverage="0" equalAverage="0" bottom="0" percent="0" rank="0" text="" dxfId="3">
      <formula>$L5="Meeting Booked"</formula>
    </cfRule>
    <cfRule type="expression" priority="6" aboveAverage="0" equalAverage="0" bottom="0" percent="0" rank="0" text="" dxfId="4">
      <formula>$L5="Proposal Sent"</formula>
    </cfRule>
    <cfRule type="expression" priority="7" aboveAverage="0" equalAverage="0" bottom="0" percent="0" rank="0" text="" dxfId="5">
      <formula>$L5="Contacted"</formula>
    </cfRule>
  </conditionalFormatting>
  <dataValidations count="4">
    <dataValidation allowBlank="true" errorStyle="stop" operator="between" showDropDown="false" showErrorMessage="false" showInputMessage="false" sqref="L5:L104" type="list">
      <formula1>"Not Contacted,Contacted,Meeting Booked,Proposal Sent,Won,Lost,Not Interested"</formula1>
      <formula2>0</formula2>
    </dataValidation>
    <dataValidation allowBlank="true" errorStyle="stop" operator="between" showDropDown="false" showErrorMessage="false" showInputMessage="false" sqref="J5:J104" type="list">
      <formula1>"Walk-In,Cold Email,LinkedIn DM,Phone Call,Referral,Social Media"</formula1>
      <formula2>0</formula2>
    </dataValidation>
    <dataValidation allowBlank="true" errorStyle="stop" operator="between" showDropDown="false" showErrorMessage="false" showInputMessage="false" sqref="P5:P104" type="list">
      <formula1>"🔴 High,🟡 Medium,🟢 Low"</formula1>
      <formula2>0</formula2>
    </dataValidation>
    <dataValidation allowBlank="true" errorStyle="stop" operator="between" showDropDown="false" showErrorMessage="false" showInputMessage="false" sqref="H5:H104" type="list">
      <formula1>"1 – Terrible,2 – Poor,3 – Average,4 – Decent,5 – Strong"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C518"/>
    <pageSetUpPr fitToPage="false"/>
  </sheetPr>
  <dimension ref="A1:K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11" min="6" style="0" width="14"/>
  </cols>
  <sheetData>
    <row r="1" customFormat="false" ht="36" hidden="false" customHeight="true" outlineLevel="0" collapsed="false">
      <c r="A1" s="1" t="s">
        <v>130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.75" hidden="false" customHeight="tru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customFormat="false" ht="15.75" hidden="false" customHeight="true" outlineLevel="0" collapsed="false"/>
    <row r="4" customFormat="false" ht="27.75" hidden="false" customHeight="true" outlineLevel="0" collapsed="false">
      <c r="A4" s="18" t="s">
        <v>131</v>
      </c>
      <c r="B4" s="18"/>
      <c r="C4" s="18"/>
      <c r="D4" s="18"/>
      <c r="E4" s="18"/>
      <c r="F4" s="18"/>
      <c r="G4" s="18"/>
      <c r="H4" s="18"/>
      <c r="I4" s="18"/>
      <c r="J4" s="18"/>
      <c r="K4" s="18"/>
    </row>
    <row r="5" customFormat="false" ht="27.75" hidden="false" customHeight="true" outlineLevel="0" collapsed="false">
      <c r="A5" s="19" t="s">
        <v>132</v>
      </c>
      <c r="B5" s="20" t="s">
        <v>30</v>
      </c>
      <c r="C5" s="21" t="s">
        <v>133</v>
      </c>
      <c r="D5" s="22" t="s">
        <v>134</v>
      </c>
      <c r="E5" s="23" t="s">
        <v>135</v>
      </c>
      <c r="F5" s="24" t="s">
        <v>136</v>
      </c>
      <c r="G5" s="25" t="s">
        <v>137</v>
      </c>
    </row>
    <row r="6" customFormat="false" ht="49.5" hidden="false" customHeight="true" outlineLevel="0" collapsed="false">
      <c r="A6" s="26" t="n">
        <f aca="false">COUNTA(Pipeline!B5:B104)</f>
        <v>15</v>
      </c>
      <c r="B6" s="27" t="n">
        <f aca="false">COUNTIF(Pipeline!L5:L104,"Not Contacted")</f>
        <v>15</v>
      </c>
      <c r="C6" s="28" t="n">
        <f aca="false">COUNTIF(Pipeline!L5:L104,"Contacted")</f>
        <v>0</v>
      </c>
      <c r="D6" s="29" t="n">
        <f aca="false">COUNTIF(Pipeline!L5:L104,"Meeting Booked")</f>
        <v>0</v>
      </c>
      <c r="E6" s="30" t="n">
        <f aca="false">COUNTIF(Pipeline!L5:L104,"Proposal Sent")</f>
        <v>0</v>
      </c>
      <c r="F6" s="31" t="n">
        <f aca="false">COUNTIF(Pipeline!L5:L104,"Won")</f>
        <v>0</v>
      </c>
      <c r="G6" s="32" t="n">
        <f aca="false">COUNTIF(Pipeline!L5:L104,"Lost")</f>
        <v>0</v>
      </c>
    </row>
    <row r="7" customFormat="false" ht="21.75" hidden="false" customHeight="true" outlineLevel="0" collapsed="false"/>
    <row r="8" customFormat="false" ht="15.75" hidden="false" customHeight="true" outlineLevel="0" collapsed="false"/>
    <row r="9" customFormat="false" ht="27.75" hidden="false" customHeight="true" outlineLevel="0" collapsed="false">
      <c r="A9" s="18" t="s">
        <v>138</v>
      </c>
      <c r="B9" s="18"/>
      <c r="C9" s="18"/>
      <c r="D9" s="18"/>
      <c r="E9" s="18"/>
      <c r="F9" s="18"/>
      <c r="G9" s="18"/>
      <c r="H9" s="18"/>
      <c r="I9" s="18"/>
      <c r="J9" s="18"/>
      <c r="K9" s="18"/>
    </row>
    <row r="10" customFormat="false" ht="27.75" hidden="false" customHeight="true" outlineLevel="0" collapsed="false">
      <c r="A10" s="19" t="s">
        <v>139</v>
      </c>
      <c r="B10" s="24" t="s">
        <v>140</v>
      </c>
      <c r="C10" s="33" t="s">
        <v>141</v>
      </c>
      <c r="D10" s="34" t="s">
        <v>142</v>
      </c>
    </row>
    <row r="11" customFormat="false" ht="49.5" hidden="false" customHeight="true" outlineLevel="0" collapsed="false">
      <c r="A11" s="35" t="n">
        <f aca="false">SUMIF(Pipeline!L5:L104,"Proposal Sent",Pipeline!N5:N104)+SUMIF(Pipeline!L5:L104,"Won",Pipeline!N5:N104)</f>
        <v>0</v>
      </c>
      <c r="B11" s="36" t="n">
        <f aca="false">SUMIF(Pipeline!L5:L104,"Won",Pipeline!O5:O104)</f>
        <v>0</v>
      </c>
      <c r="C11" s="37" t="n">
        <f aca="false">IFERROR(SUMIF(Pipeline!L5:L104,"Won",Pipeline!O5:O104)/COUNTIF(Pipeline!L5:L104,"Won"),0)</f>
        <v>0</v>
      </c>
      <c r="D11" s="38" t="n">
        <f aca="false">IFERROR(COUNTIF(Pipeline!L5:L104,"Won")/(COUNTIF(Pipeline!L5:L104,"Won")+COUNTIF(Pipeline!L5:L104,"Lost"))*100,0)</f>
        <v>0</v>
      </c>
    </row>
    <row r="12" customFormat="false" ht="15.75" hidden="false" customHeight="true" outlineLevel="0" collapsed="false"/>
    <row r="13" customFormat="false" ht="27.75" hidden="false" customHeight="true" outlineLevel="0" collapsed="false">
      <c r="A13" s="18" t="s">
        <v>143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</row>
    <row r="14" customFormat="false" ht="27.75" hidden="false" customHeight="true" outlineLevel="0" collapsed="false">
      <c r="A14" s="25" t="s">
        <v>144</v>
      </c>
      <c r="B14" s="22" t="s">
        <v>145</v>
      </c>
      <c r="C14" s="24" t="s">
        <v>146</v>
      </c>
    </row>
    <row r="15" customFormat="false" ht="49.5" hidden="false" customHeight="true" outlineLevel="0" collapsed="false">
      <c r="A15" s="32" t="n">
        <f aca="false">COUNTIF(Pipeline!P5:P104,"🔴 High")</f>
        <v>5</v>
      </c>
      <c r="B15" s="29" t="n">
        <f aca="false">COUNTIF(Pipeline!P5:P104,"🟡 Medium")</f>
        <v>8</v>
      </c>
      <c r="C15" s="31" t="n">
        <f aca="false">COUNTIF(Pipeline!P5:P104,"🟢 Low")</f>
        <v>2</v>
      </c>
    </row>
    <row r="17" customFormat="false" ht="3.75" hidden="false" customHeight="tru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customFormat="false" ht="21.75" hidden="false" customHeight="true" outlineLevel="0" collapsed="false">
      <c r="A18" s="39" t="s">
        <v>147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</row>
  </sheetData>
  <mergeCells count="5">
    <mergeCell ref="A1:K1"/>
    <mergeCell ref="A4:K4"/>
    <mergeCell ref="A9:K9"/>
    <mergeCell ref="A13:K13"/>
    <mergeCell ref="A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8888"/>
    <pageSetUpPr fitToPage="false"/>
  </sheetPr>
  <dimension ref="A1:B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</cols>
  <sheetData>
    <row r="1" customFormat="false" ht="36" hidden="false" customHeight="true" outlineLevel="0" collapsed="false">
      <c r="A1" s="1" t="s">
        <v>148</v>
      </c>
      <c r="B1" s="1"/>
    </row>
    <row r="2" customFormat="false" ht="3.75" hidden="false" customHeight="true" outlineLevel="0" collapsed="false">
      <c r="A2" s="4"/>
      <c r="B2" s="4"/>
    </row>
    <row r="3" customFormat="false" ht="9.75" hidden="false" customHeight="true" outlineLevel="0" collapsed="false">
      <c r="B3" s="40"/>
    </row>
    <row r="4" customFormat="false" ht="27.75" hidden="false" customHeight="true" outlineLevel="0" collapsed="false">
      <c r="A4" s="41" t="s">
        <v>149</v>
      </c>
      <c r="B4" s="42"/>
    </row>
    <row r="5" customFormat="false" ht="25.5" hidden="false" customHeight="true" outlineLevel="0" collapsed="false">
      <c r="A5" s="43" t="s">
        <v>150</v>
      </c>
      <c r="B5" s="44" t="s">
        <v>151</v>
      </c>
    </row>
    <row r="6" customFormat="false" ht="25.5" hidden="false" customHeight="true" outlineLevel="0" collapsed="false">
      <c r="A6" s="43" t="s">
        <v>152</v>
      </c>
      <c r="B6" s="44" t="s">
        <v>153</v>
      </c>
    </row>
    <row r="7" customFormat="false" ht="25.5" hidden="false" customHeight="true" outlineLevel="0" collapsed="false">
      <c r="A7" s="43" t="s">
        <v>154</v>
      </c>
      <c r="B7" s="44" t="s">
        <v>155</v>
      </c>
    </row>
    <row r="8" customFormat="false" ht="25.5" hidden="false" customHeight="true" outlineLevel="0" collapsed="false">
      <c r="A8" s="43" t="s">
        <v>156</v>
      </c>
      <c r="B8" s="44" t="s">
        <v>157</v>
      </c>
    </row>
    <row r="9" customFormat="false" ht="25.5" hidden="false" customHeight="true" outlineLevel="0" collapsed="false">
      <c r="A9" s="43" t="s">
        <v>158</v>
      </c>
      <c r="B9" s="44" t="s">
        <v>159</v>
      </c>
    </row>
    <row r="10" customFormat="false" ht="25.5" hidden="false" customHeight="true" outlineLevel="0" collapsed="false">
      <c r="A10" s="43" t="s">
        <v>160</v>
      </c>
      <c r="B10" s="44" t="s">
        <v>161</v>
      </c>
    </row>
    <row r="11" customFormat="false" ht="9.75" hidden="false" customHeight="true" outlineLevel="0" collapsed="false">
      <c r="B11" s="40"/>
    </row>
    <row r="12" customFormat="false" ht="27.75" hidden="false" customHeight="true" outlineLevel="0" collapsed="false">
      <c r="A12" s="41" t="s">
        <v>162</v>
      </c>
      <c r="B12" s="42"/>
    </row>
    <row r="13" customFormat="false" ht="25.5" hidden="false" customHeight="true" outlineLevel="0" collapsed="false">
      <c r="A13" s="43" t="s">
        <v>30</v>
      </c>
      <c r="B13" s="44" t="s">
        <v>163</v>
      </c>
    </row>
    <row r="14" customFormat="false" ht="25.5" hidden="false" customHeight="true" outlineLevel="0" collapsed="false">
      <c r="A14" s="43" t="s">
        <v>133</v>
      </c>
      <c r="B14" s="44" t="s">
        <v>164</v>
      </c>
    </row>
    <row r="15" customFormat="false" ht="25.5" hidden="false" customHeight="true" outlineLevel="0" collapsed="false">
      <c r="A15" s="43" t="s">
        <v>134</v>
      </c>
      <c r="B15" s="44" t="s">
        <v>165</v>
      </c>
    </row>
    <row r="16" customFormat="false" ht="25.5" hidden="false" customHeight="true" outlineLevel="0" collapsed="false">
      <c r="A16" s="43" t="s">
        <v>135</v>
      </c>
      <c r="B16" s="44" t="s">
        <v>166</v>
      </c>
    </row>
    <row r="17" customFormat="false" ht="25.5" hidden="false" customHeight="true" outlineLevel="0" collapsed="false">
      <c r="A17" s="43" t="s">
        <v>136</v>
      </c>
      <c r="B17" s="44" t="s">
        <v>167</v>
      </c>
    </row>
    <row r="18" customFormat="false" ht="25.5" hidden="false" customHeight="true" outlineLevel="0" collapsed="false">
      <c r="A18" s="43" t="s">
        <v>137</v>
      </c>
      <c r="B18" s="44" t="s">
        <v>168</v>
      </c>
    </row>
    <row r="19" customFormat="false" ht="25.5" hidden="false" customHeight="true" outlineLevel="0" collapsed="false">
      <c r="A19" s="43" t="s">
        <v>169</v>
      </c>
      <c r="B19" s="44" t="s">
        <v>170</v>
      </c>
    </row>
    <row r="20" customFormat="false" ht="9.75" hidden="false" customHeight="true" outlineLevel="0" collapsed="false">
      <c r="B20" s="40"/>
    </row>
    <row r="21" customFormat="false" ht="27.75" hidden="false" customHeight="true" outlineLevel="0" collapsed="false">
      <c r="A21" s="41" t="s">
        <v>171</v>
      </c>
      <c r="B21" s="42"/>
    </row>
    <row r="22" customFormat="false" ht="25.5" hidden="false" customHeight="true" outlineLevel="0" collapsed="false">
      <c r="A22" s="43" t="s">
        <v>172</v>
      </c>
      <c r="B22" s="44" t="s">
        <v>173</v>
      </c>
    </row>
    <row r="23" customFormat="false" ht="25.5" hidden="false" customHeight="true" outlineLevel="0" collapsed="false">
      <c r="A23" s="43" t="s">
        <v>15</v>
      </c>
      <c r="B23" s="44" t="s">
        <v>174</v>
      </c>
    </row>
    <row r="24" customFormat="false" ht="25.5" hidden="false" customHeight="true" outlineLevel="0" collapsed="false">
      <c r="A24" s="43" t="s">
        <v>175</v>
      </c>
      <c r="B24" s="44" t="s">
        <v>176</v>
      </c>
    </row>
    <row r="25" customFormat="false" ht="25.5" hidden="false" customHeight="true" outlineLevel="0" collapsed="false">
      <c r="A25" s="43" t="s">
        <v>20</v>
      </c>
      <c r="B25" s="44" t="s">
        <v>177</v>
      </c>
    </row>
    <row r="26" customFormat="false" ht="25.5" hidden="false" customHeight="true" outlineLevel="0" collapsed="false">
      <c r="A26" s="43" t="s">
        <v>178</v>
      </c>
      <c r="B26" s="44" t="s">
        <v>179</v>
      </c>
    </row>
    <row r="27" customFormat="false" ht="25.5" hidden="false" customHeight="true" outlineLevel="0" collapsed="false">
      <c r="A27" s="43" t="s">
        <v>180</v>
      </c>
      <c r="B27" s="44" t="s">
        <v>181</v>
      </c>
    </row>
    <row r="28" customFormat="false" ht="9.75" hidden="false" customHeight="true" outlineLevel="0" collapsed="false">
      <c r="B28" s="40"/>
    </row>
    <row r="29" customFormat="false" ht="27.75" hidden="false" customHeight="true" outlineLevel="0" collapsed="false">
      <c r="A29" s="41" t="s">
        <v>182</v>
      </c>
      <c r="B29" s="42"/>
    </row>
    <row r="30" customFormat="false" ht="25.5" hidden="false" customHeight="true" outlineLevel="0" collapsed="false">
      <c r="A30" s="43" t="s">
        <v>183</v>
      </c>
      <c r="B30" s="44" t="s">
        <v>184</v>
      </c>
    </row>
    <row r="31" customFormat="false" ht="25.5" hidden="false" customHeight="true" outlineLevel="0" collapsed="false">
      <c r="A31" s="43" t="s">
        <v>185</v>
      </c>
      <c r="B31" s="44" t="s">
        <v>186</v>
      </c>
    </row>
    <row r="32" customFormat="false" ht="25.5" hidden="false" customHeight="true" outlineLevel="0" collapsed="false">
      <c r="A32" s="43" t="s">
        <v>187</v>
      </c>
      <c r="B32" s="44" t="s">
        <v>188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2026-04-19T12:12:58Z</dcterms:created>
  <dc:creator>openpyxl</dc:creator>
  <dc:description/>
  <dc:language>en-US</dc:language>
  <cp:lastModifiedBy/>
  <dcterms:modified xsi:type="dcterms:W3CDTF">2026-04-19T12:12:58Z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